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bae05e6d1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shed Reference" sheetId="1" r:id="Rdf6e0c33e4934005"/>
    <x:sheet xmlns:r="http://schemas.openxmlformats.org/officeDocument/2006/relationships" name="Price Inputs" sheetId="2" r:id="R9ef4f84148784ab5"/>
    <x:sheet xmlns:r="http://schemas.openxmlformats.org/officeDocument/2006/relationships" name="Fry Calculation" sheetId="3" r:id="R2a0ba74848d04795"/>
    <x:sheet xmlns:r="http://schemas.openxmlformats.org/officeDocument/2006/relationships" name="Method and Sources" sheetId="4" r:id="R12f48a505428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"/>
    <x:numFmt numFmtId="201" formatCode="yyyy-mm-dd"/>
    <x:numFmt numFmtId="202" formatCode="#,##0"/>
    <x:numFmt numFmtId="203" formatCode="0.0000"/>
    <x:numFmt numFmtId="204" formatCode="$0.000000"/>
  </x:numFmts>
  <x:fonts count="12">
    <x:font>
      <x:sz val="11"/>
      <x:name val="Carlito"/>
    </x:font>
    <x:font>
      <x:b/>
      <x:sz val="18"/>
      <x:color rgb="FF111111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2"/>
      <x:name val="Arial"/>
    </x:font>
    <x:font>
      <x:i/>
      <x:sz val="11"/>
      <x:name val="Arial"/>
    </x:font>
    <x:font>
      <x:b/>
      <x:sz val="10"/>
      <x:color rgb="FF111111"/>
      <x:name val="Arial"/>
    </x:font>
    <x:font>
      <x:sz val="10"/>
      <x:name val="Arial"/>
    </x:font>
    <x:font>
      <x:b/>
      <x:sz val="10"/>
      <x:name val="Arial"/>
    </x:font>
    <x:font>
      <x:i/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AF0F4"/>
      </x:patternFill>
    </x:fill>
    <x:fill>
      <x:patternFill patternType="solid">
        <x:fgColor rgb="FFE2F0D9"/>
      </x:patternFill>
    </x:fill>
    <x:fill>
      <x:patternFill patternType="solid">
        <x:fgColor rgb="FFF7F7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0E5"/>
      </x:right>
      <x:bottom style="thin">
        <x:color rgb="FFD9E0E5"/>
      </x:bottom>
    </x:border>
    <x:border>
      <x:left style="thin">
        <x:color rgb="FFD9E0E5"/>
      </x:left>
      <x:right style="thin">
        <x:color rgb="FFD9E0E5"/>
      </x:right>
      <x:bottom style="thin">
        <x:color rgb="FFD9E0E5"/>
      </x:bottom>
    </x:border>
    <x:border>
      <x:left style="thin">
        <x:color rgb="FFD9E0E5"/>
      </x:left>
      <x:bottom style="thin">
        <x:color rgb="FFD9E0E5"/>
      </x:bottom>
    </x:border>
    <x:border>
      <x:right style="thin">
        <x:color rgb="FFD9E0E5"/>
      </x:right>
      <x:top style="thin">
        <x:color rgb="FFD9E0E5"/>
      </x:top>
      <x:bottom style="thin">
        <x:color rgb="FFD9E0E5"/>
      </x:bottom>
    </x:border>
    <x:border>
      <x:left style="thin">
        <x:color rgb="FFD9E0E5"/>
      </x:left>
      <x:right style="thin">
        <x:color rgb="FFD9E0E5"/>
      </x:right>
      <x:top style="thin">
        <x:color rgb="FFD9E0E5"/>
      </x:top>
      <x:bottom style="thin">
        <x:color rgb="FFD9E0E5"/>
      </x:bottom>
    </x:border>
    <x:border>
      <x:left style="thin">
        <x:color rgb="FFD9E0E5"/>
      </x:left>
      <x:top style="thin">
        <x:color rgb="FFD9E0E5"/>
      </x:top>
      <x:bottom style="thin">
        <x:color rgb="FFD9E0E5"/>
      </x:bottom>
    </x:border>
    <x:border>
      <x:right style="thin">
        <x:color rgb="FFD9E0E5"/>
      </x:right>
      <x:top style="thin">
        <x:color rgb="FFD9E0E5"/>
      </x:top>
    </x:border>
    <x:border>
      <x:left style="thin">
        <x:color rgb="FFD9E0E5"/>
      </x:left>
      <x:right style="thin">
        <x:color rgb="FFD9E0E5"/>
      </x:right>
      <x:top style="thin">
        <x:color rgb="FFD9E0E5"/>
      </x:top>
    </x:border>
    <x:border>
      <x:left style="thin">
        <x:color rgb="FFD9E0E5"/>
      </x:left>
      <x:top style="thin">
        <x:color rgb="FFD9E0E5"/>
      </x:top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200" fontId="0" fillId="3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201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200" fontId="0" fillId="4" borderId="9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201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203" fontId="0" fillId="3" borderId="6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204" fontId="0" fillId="3" borderId="6" xfId="0" applyNumberFormat="1" applyFont="1" applyFill="1" applyBorder="1" applyAlignment="1">
      <x:alignment vertical="top" wrapText="1"/>
    </x:xf>
    <x:xf numFmtId="20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200" fontId="0" fillId="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3" borderId="2" xfId="0" applyNumberFormat="1" applyFont="1" applyFill="1" applyBorder="1" applyAlignment="1">
      <x:alignment vertical="top" wrapText="1"/>
    </x:xf>
    <x:xf numFmtId="200" fontId="9" fillId="3" borderId="3" xfId="0" applyNumberFormat="1" applyFont="1" applyFill="1" applyBorder="1" applyAlignment="1">
      <x:alignment vertical="top" wrapText="1"/>
    </x:xf>
    <x:xf numFmtId="0" fontId="9" fillId="3" borderId="3" xfId="0" applyNumberFormat="1" applyFont="1" applyFill="1" applyBorder="1" applyAlignment="1">
      <x:alignment vertical="top" wrapText="1"/>
    </x:xf>
    <x:xf numFmtId="201" fontId="9" fillId="3" borderId="3" xfId="0" applyNumberFormat="1" applyFont="1" applyFill="1" applyBorder="1" applyAlignment="1">
      <x:alignment vertical="top" wrapText="1"/>
    </x:xf>
    <x:xf numFmtId="0" fontId="9" fillId="3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200" fontId="9" fillId="0" borderId="6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201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top" wrapText="1"/>
    </x:xf>
    <x:xf numFmtId="200" fontId="9" fillId="4" borderId="9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top" wrapText="1"/>
    </x:xf>
    <x:xf numFmtId="201" fontId="9" fillId="4" borderId="9" xfId="0" applyNumberFormat="1" applyFont="1" applyFill="1" applyBorder="1" applyAlignment="1">
      <x:alignment vertical="top" wrapText="1"/>
    </x:xf>
    <x:xf numFmtId="0" fontId="9" fillId="4" borderId="1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200" fontId="9" fillId="0" borderId="3" xfId="0" applyNumberFormat="1" applyFont="1" applyFill="1" applyBorder="1" applyAlignment="1">
      <x:alignment vertical="top" wrapText="1"/>
    </x:xf>
    <x:xf numFmtId="202" fontId="9" fillId="0" borderId="3" xfId="0" applyNumberFormat="1" applyFont="1" applyFill="1" applyBorder="1" applyAlignment="1">
      <x:alignment vertical="top" wrapText="1"/>
    </x:xf>
    <x:xf numFmtId="201" fontId="9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202" fontId="9" fillId="0" borderId="6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200" fontId="9" fillId="0" borderId="9" xfId="0" applyNumberFormat="1" applyFont="1" applyFill="1" applyBorder="1" applyAlignment="1">
      <x:alignment vertical="top" wrapText="1"/>
    </x:xf>
    <x:xf numFmtId="202" fontId="9" fillId="0" borderId="9" xfId="0" applyNumberFormat="1" applyFont="1" applyFill="1" applyBorder="1" applyAlignment="1">
      <x:alignment vertical="top" wrapText="1"/>
    </x:xf>
    <x:xf numFmtId="201" fontId="9" fillId="0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3" borderId="5" xfId="0" applyNumberFormat="1" applyFont="1" applyFill="1" applyBorder="1" applyAlignment="1">
      <x:alignment vertical="top" wrapText="1"/>
    </x:xf>
    <x:xf numFmtId="203" fontId="9" fillId="3" borderId="6" xfId="0" applyNumberFormat="1" applyFont="1" applyFill="1" applyBorder="1" applyAlignment="1">
      <x:alignment vertical="top" wrapText="1"/>
    </x:xf>
    <x:xf numFmtId="0" fontId="9" fillId="3" borderId="6" xfId="0" applyNumberFormat="1" applyFont="1" applyFill="1" applyBorder="1" applyAlignment="1">
      <x:alignment vertical="top" wrapText="1"/>
    </x:xf>
    <x:xf numFmtId="0" fontId="9" fillId="3" borderId="7" xfId="0" applyNumberFormat="1" applyFont="1" applyFill="1" applyBorder="1" applyAlignment="1">
      <x:alignment vertical="top" wrapText="1"/>
    </x:xf>
    <x:xf numFmtId="204" fontId="9" fillId="3" borderId="6" xfId="0" applyNumberFormat="1" applyFont="1" applyFill="1" applyBorder="1" applyAlignment="1">
      <x:alignment vertical="top" wrapText="1"/>
    </x:xf>
    <x:xf numFmtId="200" fontId="9" fillId="3" borderId="6" xfId="0" applyNumberFormat="1" applyFont="1" applyFill="1" applyBorder="1" applyAlignment="1">
      <x:alignment vertical="top" wrapText="1"/>
    </x:xf>
    <x:xf numFmtId="0" fontId="9" fillId="3" borderId="8" xfId="0" applyNumberFormat="1" applyFont="1" applyFill="1" applyBorder="1" applyAlignment="1">
      <x:alignment vertical="top" wrapText="1"/>
    </x:xf>
    <x:xf numFmtId="200" fontId="9" fillId="3" borderId="9" xfId="0" applyNumberFormat="1" applyFont="1" applyFill="1" applyBorder="1" applyAlignment="1">
      <x:alignment vertical="top" wrapText="1"/>
    </x:xf>
    <x:xf numFmtId="0" fontId="9" fillId="3" borderId="9" xfId="0" applyNumberFormat="1" applyFont="1" applyFill="1" applyBorder="1" applyAlignment="1">
      <x:alignment vertical="top" wrapText="1"/>
    </x:xf>
    <x:xf numFmtId="0" fontId="9" fillId="3" borderId="1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e69856ea44883" /><Relationship Type="http://schemas.openxmlformats.org/officeDocument/2006/relationships/theme" Target="/xl/theme/theme1.xml" Id="R852d1e42f2d54fbc" /><Relationship Type="http://schemas.openxmlformats.org/officeDocument/2006/relationships/sharedStrings" Target="/xl/sharedStrings.xml" Id="R0aca95298cfe4480" /><Relationship Type="http://schemas.openxmlformats.org/officeDocument/2006/relationships/worksheet" Target="/xl/worksheets/sheet1.xml" Id="Rdf6e0c33e4934005" /><Relationship Type="http://schemas.openxmlformats.org/officeDocument/2006/relationships/worksheet" Target="/xl/worksheets/sheet2.xml" Id="R9ef4f84148784ab5" /><Relationship Type="http://schemas.openxmlformats.org/officeDocument/2006/relationships/worksheet" Target="/xl/worksheets/sheet3.xml" Id="R2a0ba74848d04795" /><Relationship Type="http://schemas.openxmlformats.org/officeDocument/2006/relationships/worksheet" Target="/xl/worksheets/sheet4.xml" Id="R12f48a505428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42" hidden="0" customWidth="1"/>
  </x:cols>
  <x:sheetData>
    <x:row r="1" ht="15" hidden="0" customHeight="1">
      <x:c r="A1" s="79" t="str">
        <x:v>United States food reference</x:v>
      </x:c>
      <x:c r="B1" s="80"/>
      <x:c r="C1" s="80"/>
      <x:c r="D1" s="80"/>
      <x:c r="E1" s="80"/>
      <x:c r="F1" s="80"/>
      <x:c r="G1" s="80"/>
    </x:row>
    <x:row r="2" ht="15" hidden="0" customHeight="1">
      <x:c r="A2" s="2" t="str">
        <x:v>Public national price aggregates retrieved 2026-09-04; USD before tax; independent sources, not McDonald's corporate prices</x:v>
      </x:c>
      <x:c r="B2" s="80"/>
      <x:c r="C2" s="80"/>
      <x:c r="D2" s="80"/>
      <x:c r="E2" s="80"/>
      <x:c r="F2" s="80"/>
      <x:c r="G2" s="80"/>
    </x:row>
    <x:row r="3" ht="15" hidden="0" customHeight="1">
      <x:c r="A3" s="80"/>
      <x:c r="B3" s="80"/>
      <x:c r="C3" s="80"/>
      <x:c r="D3" s="80"/>
      <x:c r="E3" s="80"/>
      <x:c r="F3" s="80"/>
      <x:c r="G3" s="80"/>
    </x:row>
    <x:row r="4" ht="15" hidden="0" customHeight="1">
      <x:c r="A4" s="8" t="str">
        <x:v>Support choice</x:v>
      </x:c>
      <x:c r="B4" s="8" t="str">
        <x:v>Published amount</x:v>
      </x:c>
      <x:c r="C4" s="8" t="str">
        <x:v>Observed range</x:v>
      </x:c>
      <x:c r="D4" s="8" t="str">
        <x:v>Coverage reported</x:v>
      </x:c>
      <x:c r="E4" s="8" t="str">
        <x:v>Source updated</x:v>
      </x:c>
      <x:c r="F4" s="8" t="str">
        <x:v>Use in product</x:v>
      </x:c>
      <x:c r="G4" s="8" t="str">
        <x:v>Qualification</x:v>
      </x:c>
    </x:row>
    <x:row r="5" ht="48" hidden="0" customHeight="1">
      <x:c r="A5" s="81" t="str">
        <x:v>One french fry</x:v>
      </x:c>
      <x:c r="B5" s="82" t="n">
        <x:f>'Fry Calculation'!B15</x:f>
        <x:v>0.05</x:v>
      </x:c>
      <x:c r="C5" s="83"/>
      <x:c r="D5" s="83" t="str">
        <x:v>Derived below</x:v>
      </x:c>
      <x:c r="E5" s="84" t="n">
        <x:v>46269</x:v>
      </x:c>
      <x:c r="F5" s="83" t="str">
        <x:v>Display $0.05 as rounded comparison; provider minimum still governs checkout</x:v>
      </x:c>
      <x:c r="G5" s="85" t="str">
        <x:v>Estimated from a medium-fries aggregate and a separate 10-order fry measurement</x:v>
      </x:c>
    </x:row>
    <x:row r="6" ht="24" hidden="0" customHeight="1">
      <x:c r="A6" s="86" t="str">
        <x:v>Vanilla cone</x:v>
      </x:c>
      <x:c r="B6" s="87" t="n">
        <x:v>2.31</x:v>
      </x:c>
      <x:c r="C6" s="88" t="str">
        <x:v>$0.79-$4.39</x:v>
      </x:c>
      <x:c r="D6" s="88" t="str">
        <x:v>13,503 locations; all 50 states</x:v>
      </x:c>
      <x:c r="E6" s="89" t="n">
        <x:v>46262</x:v>
      </x:c>
      <x:c r="F6" s="88" t="str">
        <x:v>Display $2.31</x:v>
      </x:c>
      <x:c r="G6" s="90" t="str">
        <x:v>National mean reported by MenuPriceTracker; location prices vary</x:v>
      </x:c>
    </x:row>
    <x:row r="7" ht="24" hidden="0" customHeight="1">
      <x:c r="A7" s="86" t="str">
        <x:v>Hamburger without cheese</x:v>
      </x:c>
      <x:c r="B7" s="87" t="n">
        <x:v>2.89</x:v>
      </x:c>
      <x:c r="C7" s="88" t="str">
        <x:v>Not published on source page</x:v>
      </x:c>
      <x:c r="D7" s="88" t="str">
        <x:v>About 472 locations</x:v>
      </x:c>
      <x:c r="E7" s="89" t="n">
        <x:v>46266</x:v>
      </x:c>
      <x:c r="F7" s="88" t="str">
        <x:v>Display $2.89</x:v>
      </x:c>
      <x:c r="G7" s="90" t="str">
        <x:v>Delivery-platform aggregate reported by MenuPriceToday; not an in-store local quote</x:v>
      </x:c>
    </x:row>
    <x:row r="8" ht="24" hidden="0" customHeight="1">
      <x:c r="A8" s="86" t="str">
        <x:v>Hamburger Happy Meal</x:v>
      </x:c>
      <x:c r="B8" s="87" t="n">
        <x:v>6.19</x:v>
      </x:c>
      <x:c r="C8" s="88" t="str">
        <x:v>Not published on source page</x:v>
      </x:c>
      <x:c r="D8" s="88" t="str">
        <x:v>About 472 locations</x:v>
      </x:c>
      <x:c r="E8" s="89" t="n">
        <x:v>46266</x:v>
      </x:c>
      <x:c r="F8" s="88" t="str">
        <x:v>Display $6.19</x:v>
      </x:c>
      <x:c r="G8" s="90" t="str">
        <x:v>Delivery-platform aggregate reported by MenuPriceToday; product configuration may vary</x:v>
      </x:c>
    </x:row>
    <x:row r="9" ht="36" hidden="0" customHeight="1">
      <x:c r="A9" s="91" t="str">
        <x:v>Quarter Pounder with Cheese Meal</x:v>
      </x:c>
      <x:c r="B9" s="92" t="n">
        <x:v>12.19</x:v>
      </x:c>
      <x:c r="C9" s="93" t="str">
        <x:v>Not published on source page</x:v>
      </x:c>
      <x:c r="D9" s="93" t="str">
        <x:v>About 472 locations</x:v>
      </x:c>
      <x:c r="E9" s="94" t="n">
        <x:v>46266</x:v>
      </x:c>
      <x:c r="F9" s="93" t="str">
        <x:v>Recommended amount: $12.19</x:v>
      </x:c>
      <x:c r="G9" s="95" t="str">
        <x:v>Delivery-platform aggregate reported by MenuPriceToday; meal configuration and local price vary</x:v>
      </x:c>
    </x:row>
    <x:row r="10" ht="15" hidden="0" customHeight="1">
      <x:c r="A10" s="80"/>
      <x:c r="B10" s="80"/>
      <x:c r="C10" s="80"/>
      <x:c r="D10" s="80"/>
      <x:c r="E10" s="80"/>
      <x:c r="F10" s="80"/>
      <x:c r="G10" s="80"/>
    </x:row>
    <x:row r="11" ht="15" hidden="0" customHeight="1">
      <x:c r="A11" s="4" t="str">
        <x:v>Release wording</x:v>
      </x:c>
      <x:c r="B11" s="80"/>
      <x:c r="C11" s="80"/>
      <x:c r="D11" s="80"/>
      <x:c r="E11" s="80"/>
      <x:c r="F11" s="80"/>
      <x:c r="G11" s="80"/>
    </x:row>
    <x:row r="12">
      <x:c r="A12" s="96" t="str">
        <x:v>Suggested copy: You have used [product] for [measured active time] and completed [measured count] [defined work units]. If it has been worth keeping, you can help pay for the person who made it to eat. Today’s U.S. reference amounts are $2.31 for a vanilla cone, $2.89 for a hamburger, $6.19 for a Hamburger Happy Meal, or $12.19 for a Quarter Pounder with Cheese meal. A single fry is estimated at about five cents. Prices are independent national references retrieved 4 September 2026, not a quote for your nearest restaurant. The exact amount charged is shown before payment.</x:v>
      </x:c>
      <x:c r="B12" s="96"/>
      <x:c r="C12" s="96"/>
      <x:c r="D12" s="96"/>
      <x:c r="E12" s="96"/>
      <x:c r="F12" s="96"/>
      <x:c r="G12" s="96"/>
    </x:row>
    <x:row r="13">
      <x:c r="A13" s="96"/>
      <x:c r="B13" s="96"/>
      <x:c r="C13" s="96"/>
      <x:c r="D13" s="96"/>
      <x:c r="E13" s="96"/>
      <x:c r="F13" s="96"/>
      <x:c r="G13" s="96"/>
    </x:row>
    <x:row r="14">
      <x:c r="A14" s="96"/>
      <x:c r="B14" s="96"/>
      <x:c r="C14" s="96"/>
      <x:c r="D14" s="96"/>
      <x:c r="E14" s="96"/>
      <x:c r="F14" s="96"/>
      <x:c r="G14" s="96"/>
    </x:row>
    <x:row r="15">
      <x:c r="A15" s="96"/>
      <x:c r="B15" s="96"/>
      <x:c r="C15" s="96"/>
      <x:c r="D15" s="96"/>
      <x:c r="E15" s="96"/>
      <x:c r="F15" s="96"/>
      <x:c r="G15" s="96"/>
    </x:row>
  </x:sheetData>
  <x:mergeCells>
    <x:mergeCell ref="A1:G1"/>
    <x:mergeCell ref="A11:G11"/>
    <x:mergeCell ref="A12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7" hidden="0" customWidth="1"/>
    <x:col min="4" max="4" width="19" hidden="0" customWidth="1"/>
    <x:col min="5" max="5" width="19" hidden="0" customWidth="1"/>
    <x:col min="6" max="6" width="18" hidden="0" customWidth="1"/>
    <x:col min="7" max="7" width="26" hidden="0" customWidth="1"/>
    <x:col min="8" max="8" width="54" hidden="0" customWidth="1"/>
  </x:cols>
  <x:sheetData>
    <x:row r="1" ht="15" hidden="0" customHeight="1">
      <x:c r="A1" s="79" t="str">
        <x:v>Published price inputs</x:v>
      </x:c>
      <x:c r="B1" s="80"/>
      <x:c r="C1" s="80"/>
      <x:c r="D1" s="80"/>
      <x:c r="E1" s="80"/>
      <x:c r="F1" s="80"/>
      <x:c r="G1" s="80"/>
      <x:c r="H1" s="80"/>
    </x:row>
    <x:row r="2" ht="15" hidden="0" customHeight="1">
      <x:c r="A2" s="2" t="str">
        <x:v>Each row preserves the source's own statistic and coverage; rows are not pooled into a new average</x:v>
      </x:c>
      <x:c r="B2" s="80"/>
      <x:c r="C2" s="80"/>
      <x:c r="D2" s="80"/>
      <x:c r="E2" s="80"/>
      <x:c r="F2" s="80"/>
      <x:c r="G2" s="80"/>
      <x:c r="H2" s="80"/>
    </x:row>
    <x:row r="3" ht="15" hidden="0" customHeight="1">
      <x:c r="A3" s="80"/>
      <x:c r="B3" s="80"/>
      <x:c r="C3" s="80"/>
      <x:c r="D3" s="80"/>
      <x:c r="E3" s="80"/>
      <x:c r="F3" s="80"/>
      <x:c r="G3" s="80"/>
      <x:c r="H3" s="80"/>
    </x:row>
    <x:row r="4" ht="15" hidden="0" customHeight="1">
      <x:c r="A4" s="8" t="str">
        <x:v>Item</x:v>
      </x:c>
      <x:c r="B4" s="8" t="str">
        <x:v>Mean USD</x:v>
      </x:c>
      <x:c r="C4" s="8" t="str">
        <x:v>Minimum USD</x:v>
      </x:c>
      <x:c r="D4" s="8" t="str">
        <x:v>Maximum USD</x:v>
      </x:c>
      <x:c r="E4" s="8" t="str">
        <x:v>Reported locations</x:v>
      </x:c>
      <x:c r="F4" s="8" t="str">
        <x:v>Source date</x:v>
      </x:c>
      <x:c r="G4" s="8" t="str">
        <x:v>Channel and area</x:v>
      </x:c>
      <x:c r="H4" s="8" t="str">
        <x:v>Source URL</x:v>
      </x:c>
    </x:row>
    <x:row r="5" ht="24" hidden="0" customHeight="1">
      <x:c r="A5" s="97" t="str">
        <x:v>Medium French Fries</x:v>
      </x:c>
      <x:c r="B5" s="98" t="n">
        <x:v>3.56</x:v>
      </x:c>
      <x:c r="C5" s="98" t="n">
        <x:v>1.89</x:v>
      </x:c>
      <x:c r="D5" s="98" t="n">
        <x:v>5.9</x:v>
      </x:c>
      <x:c r="E5" s="99" t="n">
        <x:v>13595</x:v>
      </x:c>
      <x:c r="F5" s="100" t="n">
        <x:v>46261</x:v>
      </x:c>
      <x:c r="G5" s="101" t="str">
        <x:v>McDonald's app; United States, all 50 states</x:v>
      </x:c>
      <x:c r="H5" s="102" t="str">
        <x:v>https://menupricetracker.com/mcdonalds-menu/medium-french-fries</x:v>
      </x:c>
    </x:row>
    <x:row r="6" ht="24" hidden="0" customHeight="1">
      <x:c r="A6" s="86" t="str">
        <x:v>Vanilla Cone</x:v>
      </x:c>
      <x:c r="B6" s="87" t="n">
        <x:v>2.31</x:v>
      </x:c>
      <x:c r="C6" s="87" t="n">
        <x:v>0.79</x:v>
      </x:c>
      <x:c r="D6" s="87" t="n">
        <x:v>4.39</x:v>
      </x:c>
      <x:c r="E6" s="103" t="n">
        <x:v>13503</x:v>
      </x:c>
      <x:c r="F6" s="89" t="n">
        <x:v>46262</x:v>
      </x:c>
      <x:c r="G6" s="88" t="str">
        <x:v>McDonald's app; United States, all 50 states</x:v>
      </x:c>
      <x:c r="H6" s="90" t="str">
        <x:v>https://menupricetracker.com/mcdonalds-menu/vanilla-cone</x:v>
      </x:c>
    </x:row>
    <x:row r="7" ht="24" hidden="0" customHeight="1">
      <x:c r="A7" s="86" t="str">
        <x:v>Hamburger</x:v>
      </x:c>
      <x:c r="B7" s="87" t="n">
        <x:v>2.89</x:v>
      </x:c>
      <x:c r="C7" s="87"/>
      <x:c r="D7" s="87"/>
      <x:c r="E7" s="103" t="n">
        <x:v>472</x:v>
      </x:c>
      <x:c r="F7" s="89" t="n">
        <x:v>46266</x:v>
      </x:c>
      <x:c r="G7" s="88" t="str">
        <x:v>Delivery platforms; United States aggregate</x:v>
      </x:c>
      <x:c r="H7" s="90" t="str">
        <x:v>https://menupricetoday.com/us/brands/mcdonalds/menu</x:v>
      </x:c>
    </x:row>
    <x:row r="8" ht="24" hidden="0" customHeight="1">
      <x:c r="A8" s="86" t="str">
        <x:v>Hamburger Happy Meal</x:v>
      </x:c>
      <x:c r="B8" s="87" t="n">
        <x:v>6.19</x:v>
      </x:c>
      <x:c r="C8" s="87"/>
      <x:c r="D8" s="87"/>
      <x:c r="E8" s="103" t="n">
        <x:v>472</x:v>
      </x:c>
      <x:c r="F8" s="89" t="n">
        <x:v>46266</x:v>
      </x:c>
      <x:c r="G8" s="88" t="str">
        <x:v>Delivery platforms; United States aggregate</x:v>
      </x:c>
      <x:c r="H8" s="90" t="str">
        <x:v>https://menupricetoday.com/us/brands/mcdonalds/menu</x:v>
      </x:c>
    </x:row>
    <x:row r="9" ht="24" hidden="0" customHeight="1">
      <x:c r="A9" s="104" t="str">
        <x:v>Quarter Pounder with Cheese Meal</x:v>
      </x:c>
      <x:c r="B9" s="105" t="n">
        <x:v>12.19</x:v>
      </x:c>
      <x:c r="C9" s="105"/>
      <x:c r="D9" s="105"/>
      <x:c r="E9" s="106" t="n">
        <x:v>472</x:v>
      </x:c>
      <x:c r="F9" s="107" t="n">
        <x:v>46266</x:v>
      </x:c>
      <x:c r="G9" s="108" t="str">
        <x:v>Delivery platforms; United States aggregate</x:v>
      </x:c>
      <x:c r="H9" s="109" t="str">
        <x:v>https://menupricetoday.com/us/brands/mcdonalds/menu</x:v>
      </x:c>
    </x:row>
    <x:row r="10" ht="15" hidden="0" customHeight="1">
      <x:c r="A10" s="80"/>
      <x:c r="B10" s="80"/>
      <x:c r="C10" s="80"/>
      <x:c r="D10" s="80"/>
      <x:c r="E10" s="80"/>
      <x:c r="F10" s="80"/>
      <x:c r="G10" s="80"/>
      <x:c r="H10" s="80"/>
    </x:row>
    <x:row r="11" ht="15" hidden="0" customHeight="1">
      <x:c r="A11" s="8" t="str">
        <x:v>Cross-check</x:v>
      </x:c>
      <x:c r="B11" s="8" t="str">
        <x:v>Amount</x:v>
      </x:c>
      <x:c r="C11" s="8" t="str">
        <x:v>Low</x:v>
      </x:c>
      <x:c r="D11" s="8" t="str">
        <x:v>High</x:v>
      </x:c>
      <x:c r="E11" s="8" t="str">
        <x:v>Readings</x:v>
      </x:c>
      <x:c r="F11" s="8" t="str">
        <x:v>Checked</x:v>
      </x:c>
      <x:c r="G11" s="8" t="str">
        <x:v>Interpretation</x:v>
      </x:c>
      <x:c r="H11" s="8" t="str">
        <x:v>Source URL</x:v>
      </x:c>
    </x:row>
    <x:row r="12" ht="24" hidden="0" customHeight="1">
      <x:c r="A12" s="97" t="str">
        <x:v>Medium fries typical</x:v>
      </x:c>
      <x:c r="B12" s="98" t="n">
        <x:v>3.99</x:v>
      </x:c>
      <x:c r="C12" s="98" t="n">
        <x:v>3.29</x:v>
      </x:c>
      <x:c r="D12" s="98" t="n">
        <x:v>3.99</x:v>
      </x:c>
      <x:c r="E12" s="101" t="n">
        <x:v>9</x:v>
      </x:c>
      <x:c r="F12" s="100" t="n">
        <x:v>46253</x:v>
      </x:c>
      <x:c r="G12" s="101" t="str">
        <x:v>Six of nine published U.S. readings matched $3.99</x:v>
      </x:c>
      <x:c r="H12" s="102" t="str">
        <x:v>https://www.helpmelogin.net/mcdonalds/menu-prices/medium-world-famous-fries/</x:v>
      </x:c>
    </x:row>
    <x:row r="13" ht="24" hidden="0" customHeight="1">
      <x:c r="A13" s="86" t="str">
        <x:v>Vanilla cone typical</x:v>
      </x:c>
      <x:c r="B13" s="87" t="n">
        <x:v>1.99</x:v>
      </x:c>
      <x:c r="C13" s="87" t="n">
        <x:v>1.59</x:v>
      </x:c>
      <x:c r="D13" s="87" t="n">
        <x:v>3.19</x:v>
      </x:c>
      <x:c r="E13" s="88" t="n">
        <x:v>3</x:v>
      </x:c>
      <x:c r="F13" s="89" t="n">
        <x:v>46253</x:v>
      </x:c>
      <x:c r="G13" s="88" t="str">
        <x:v>Middle of three published U.S. readings</x:v>
      </x:c>
      <x:c r="H13" s="90" t="str">
        <x:v>https://www.helpmelogin.net/mcdonalds/menu-prices/vanilla-cone/</x:v>
      </x:c>
    </x:row>
    <x:row r="14" ht="36" hidden="0" customHeight="1">
      <x:c r="A14" s="104" t="str">
        <x:v>Quarter Pounder with Cheese Meal</x:v>
      </x:c>
      <x:c r="B14" s="105" t="n">
        <x:v>11.49</x:v>
      </x:c>
      <x:c r="C14" s="105"/>
      <x:c r="D14" s="105"/>
      <x:c r="E14" s="108"/>
      <x:c r="F14" s="107" t="n">
        <x:v>46204</x:v>
      </x:c>
      <x:c r="G14" s="108" t="str">
        <x:v>Independent July 2026 menu table; supports a nearby but lower reference</x:v>
      </x:c>
      <x:c r="H14" s="109" t="str">
        <x:v>https://www.fastfoodwatch.com/mcdonalds-menu-prices-and-nutrition/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6" hidden="0" customWidth="1"/>
    <x:col min="4" max="4" width="58" hidden="0" customWidth="1"/>
  </x:cols>
  <x:sheetData>
    <x:row r="1" ht="15" hidden="0" customHeight="1">
      <x:c r="A1" s="79" t="str">
        <x:v>Estimated value of one french fry</x:v>
      </x:c>
      <x:c r="B1" s="80"/>
      <x:c r="C1" s="80"/>
      <x:c r="D1" s="80"/>
    </x:row>
    <x:row r="2" ht="15" hidden="0" customHeight="1">
      <x:c r="A2" s="2" t="str">
        <x:v>Provisional mass estimate and formula; the result is a comparison, not a separately purchasable menu item</x:v>
      </x:c>
      <x:c r="B2" s="80"/>
      <x:c r="C2" s="80"/>
      <x:c r="D2" s="80"/>
    </x:row>
    <x:row r="3" ht="15" hidden="0" customHeight="1">
      <x:c r="A3" s="80"/>
      <x:c r="B3" s="80"/>
      <x:c r="C3" s="80"/>
      <x:c r="D3" s="80"/>
    </x:row>
    <x:row r="4" ht="15" hidden="0" customHeight="1">
      <x:c r="A4" s="8" t="str">
        <x:v>Input or result</x:v>
      </x:c>
      <x:c r="B4" s="8" t="str">
        <x:v>Value</x:v>
      </x:c>
      <x:c r="C4" s="8" t="str">
        <x:v>Unit</x:v>
      </x:c>
      <x:c r="D4" s="8" t="str">
        <x:v>Evidence</x:v>
      </x:c>
    </x:row>
    <x:row r="5" ht="15" hidden="0" customHeight="1">
      <x:c r="A5" s="97" t="str">
        <x:v>Medium fries national mean price</x:v>
      </x:c>
      <x:c r="B5" s="98" t="n">
        <x:v>3.56</x:v>
      </x:c>
      <x:c r="C5" s="101" t="str">
        <x:v>USD per serving</x:v>
      </x:c>
      <x:c r="D5" s="102" t="str">
        <x:v>MenuPriceTracker, 13,595 reported U.S. locations, updated 2026-08-27</x:v>
      </x:c>
    </x:row>
    <x:row r="6" ht="15" hidden="0" customHeight="1">
      <x:c r="A6" s="86" t="str">
        <x:v>Measured medium orders</x:v>
      </x:c>
      <x:c r="B6" s="88" t="n">
        <x:v>10</x:v>
      </x:c>
      <x:c r="C6" s="88" t="str">
        <x:v>orders</x:v>
      </x:c>
      <x:c r="D6" s="90" t="str">
        <x:v>Published 2026 experiment across five franchises in one city</x:v>
      </x:c>
    </x:row>
    <x:row r="7" ht="15" hidden="0" customHeight="1">
      <x:c r="A7" s="86" t="str">
        <x:v>Average measured serving mass</x:v>
      </x:c>
      <x:c r="B7" s="88" t="n">
        <x:v>112</x:v>
      </x:c>
      <x:c r="C7" s="88" t="str">
        <x:v>grams per serving</x:v>
      </x:c>
      <x:c r="D7" s="90" t="str">
        <x:v>Published experiment result</x:v>
      </x:c>
    </x:row>
    <x:row r="8" ht="15" hidden="0" customHeight="1">
      <x:c r="A8" s="86" t="str">
        <x:v>Average measured fry count</x:v>
      </x:c>
      <x:c r="B8" s="88" t="n">
        <x:v>78</x:v>
      </x:c>
      <x:c r="C8" s="88" t="str">
        <x:v>fries per serving</x:v>
      </x:c>
      <x:c r="D8" s="90" t="str">
        <x:v>Published experiment result</x:v>
      </x:c>
    </x:row>
    <x:row r="9" ht="15" hidden="0" customHeight="1">
      <x:c r="A9" s="110" t="str">
        <x:v>Estimated mass per fry</x:v>
      </x:c>
      <x:c r="B9" s="111" t="n">
        <x:f>B7/B8</x:f>
        <x:v>1.435897435897436</x:v>
      </x:c>
      <x:c r="C9" s="112" t="str">
        <x:v>grams per fry</x:v>
      </x:c>
      <x:c r="D9" s="113" t="str">
        <x:v>Average serving mass divided by average fry count</x:v>
      </x:c>
    </x:row>
    <x:row r="10" ht="15" hidden="0" customHeight="1">
      <x:c r="A10" s="110" t="str">
        <x:v>Cost per gram</x:v>
      </x:c>
      <x:c r="B10" s="111" t="n">
        <x:f>B5/B7</x:f>
        <x:v>0.031785714285714285</x:v>
      </x:c>
      <x:c r="C10" s="112" t="str">
        <x:v>USD per gram</x:v>
      </x:c>
      <x:c r="D10" s="113" t="str">
        <x:v>National mean serving price divided by measured serving mass</x:v>
      </x:c>
    </x:row>
    <x:row r="11" ht="15" hidden="0" customHeight="1">
      <x:c r="A11" s="110" t="str">
        <x:v>Unrounded estimated fry value</x:v>
      </x:c>
      <x:c r="B11" s="114" t="n">
        <x:f>B10*B9</x:f>
        <x:v>0.04564102564102564</x:v>
      </x:c>
      <x:c r="C11" s="112" t="str">
        <x:v>USD per fry</x:v>
      </x:c>
      <x:c r="D11" s="113" t="str">
        <x:v>Cost per gram multiplied by estimated mass per fry</x:v>
      </x:c>
    </x:row>
    <x:row r="12" ht="15" hidden="0" customHeight="1">
      <x:c r="A12" s="110" t="str">
        <x:v>Equivalent direct check</x:v>
      </x:c>
      <x:c r="B12" s="114" t="n">
        <x:f>B5/B8</x:f>
        <x:v>0.045641025641025644</x:v>
      </x:c>
      <x:c r="C12" s="112" t="str">
        <x:v>USD per fry</x:v>
      </x:c>
      <x:c r="D12" s="113" t="str">
        <x:v>Serving price divided by average fry count</x:v>
      </x:c>
    </x:row>
    <x:row r="13" ht="15" hidden="0" customHeight="1">
      <x:c r="A13" s="110" t="str">
        <x:v>Difference between methods</x:v>
      </x:c>
      <x:c r="B13" s="114" t="n">
        <x:f>B11-B12</x:f>
        <x:v>-6.938893903907228e-18</x:v>
      </x:c>
      <x:c r="C13" s="112" t="str">
        <x:v>USD</x:v>
      </x:c>
      <x:c r="D13" s="113" t="str">
        <x:v>Must equal zero apart from floating-point precision</x:v>
      </x:c>
    </x:row>
    <x:row r="14" ht="15" hidden="0" customHeight="1">
      <x:c r="A14" s="110" t="str">
        <x:v>Rounded currency display</x:v>
      </x:c>
      <x:c r="B14" s="115" t="n">
        <x:f>ROUND(B11,2)</x:f>
        <x:v>0.05</x:v>
      </x:c>
      <x:c r="C14" s="112" t="str">
        <x:v>USD</x:v>
      </x:c>
      <x:c r="D14" s="113" t="str">
        <x:v>Rounded to nearest cent for display</x:v>
      </x:c>
    </x:row>
    <x:row r="15" ht="15" hidden="0" customHeight="1">
      <x:c r="A15" s="116" t="str">
        <x:v>Rounded contribution amount</x:v>
      </x:c>
      <x:c r="B15" s="117" t="n">
        <x:f>B14</x:f>
        <x:v>0.05</x:v>
      </x:c>
      <x:c r="C15" s="118" t="str">
        <x:v>USD</x:v>
      </x:c>
      <x:c r="D15" s="119" t="str">
        <x:v>Use the words: about five cents for one fry</x:v>
      </x:c>
    </x:row>
    <x:row r="16" ht="15" hidden="0" customHeight="1">
      <x:c r="A16" s="80"/>
      <x:c r="B16" s="80"/>
      <x:c r="C16" s="80"/>
      <x:c r="D16" s="80"/>
    </x:row>
    <x:row r="17" ht="15" hidden="0" customHeight="1">
      <x:c r="A17" s="4" t="str">
        <x:v>Formula shown to the user</x:v>
      </x:c>
      <x:c r="B17" s="80"/>
      <x:c r="C17" s="80"/>
      <x:c r="D17" s="80"/>
    </x:row>
    <x:row r="18">
      <x:c r="A18" s="120" t="str">
        <x:v>$3.56 / 112 g = $0.0317857 per gram
112 g / 78 fries = 1.435897 g per fry
$0.0317857/g x 1.435897 g = $0.045641 per fry, displayed as about $0.05</x:v>
      </x:c>
      <x:c r="B18" s="120"/>
      <x:c r="C18" s="120"/>
      <x:c r="D18" s="120"/>
    </x:row>
    <x:row r="19">
      <x:c r="A19" s="120"/>
      <x:c r="B19" s="120"/>
      <x:c r="C19" s="120"/>
      <x:c r="D19" s="120"/>
    </x:row>
    <x:row r="20">
      <x:c r="A20" s="120"/>
      <x:c r="B20" s="120"/>
      <x:c r="C20" s="120"/>
      <x:c r="D20" s="120"/>
    </x:row>
    <x:row r="21" ht="15" hidden="0" customHeight="1">
      <x:c r="A21" s="80"/>
      <x:c r="B21" s="80"/>
      <x:c r="C21" s="80"/>
      <x:c r="D21" s="80"/>
    </x:row>
    <x:row r="22">
      <x:c r="A22" s="121" t="str">
        <x:v>Important limitation: the mass and count come from a small independent experiment, not an official McDonald's portion specification. Replace this estimate after running and retaining our own documented multi-location weighing study.</x:v>
      </x:c>
      <x:c r="B22" s="121"/>
      <x:c r="C22" s="121"/>
      <x:c r="D22" s="121"/>
    </x:row>
    <x:row r="23">
      <x:c r="A23" s="121"/>
      <x:c r="B23" s="121"/>
      <x:c r="C23" s="121"/>
      <x:c r="D23" s="121"/>
    </x:row>
  </x:sheetData>
  <x:mergeCells>
    <x:mergeCell ref="A1:D1"/>
    <x:mergeCell ref="A17:D17"/>
    <x:mergeCell ref="A18:D20"/>
    <x:mergeCell ref="A22:D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62" hidden="0" customWidth="1"/>
  </x:cols>
  <x:sheetData>
    <x:row r="1" ht="15" hidden="0" customHeight="1">
      <x:c r="A1" s="79" t="str">
        <x:v>Method and sources</x:v>
      </x:c>
      <x:c r="B1" s="80"/>
      <x:c r="C1" s="80"/>
    </x:row>
    <x:row r="2" ht="15" hidden="0" customHeight="1">
      <x:c r="A2" s="2" t="str">
        <x:v>Retrieval date 2026-09-04; broad geographic labels only; no user location or personal data collected</x:v>
      </x:c>
      <x:c r="B2" s="80"/>
      <x:c r="C2" s="80"/>
    </x:row>
    <x:row r="3" ht="15" hidden="0" customHeight="1">
      <x:c r="A3" s="80"/>
      <x:c r="B3" s="80"/>
      <x:c r="C3" s="80"/>
    </x:row>
    <x:row r="4" ht="15" hidden="0" customHeight="1">
      <x:c r="A4" s="8" t="str">
        <x:v>Topic</x:v>
      </x:c>
      <x:c r="B4" s="8" t="str">
        <x:v>Decision</x:v>
      </x:c>
      <x:c r="C4" s="8" t="str">
        <x:v>Reason</x:v>
      </x:c>
    </x:row>
    <x:row r="5" ht="24" hidden="0" customHeight="1">
      <x:c r="A5" s="97" t="str">
        <x:v>Geography</x:v>
      </x:c>
      <x:c r="B5" s="101" t="str">
        <x:v>United States national reference</x:v>
      </x:c>
      <x:c r="C5" s="102" t="str">
        <x:v>Avoids geolocating the software user and avoids publishing a specific person's location</x:v>
      </x:c>
    </x:row>
    <x:row r="6" ht="15" hidden="0" customHeight="1">
      <x:c r="A6" s="86" t="str">
        <x:v>Price statistic</x:v>
      </x:c>
      <x:c r="B6" s="88" t="str">
        <x:v>Use each publisher's reported national mean</x:v>
      </x:c>
      <x:c r="C6" s="90" t="str">
        <x:v>The underlying store observations are not available for independent recomputation</x:v>
      </x:c>
    </x:row>
    <x:row r="7" ht="15" hidden="0" customHeight="1">
      <x:c r="A7" s="86" t="str">
        <x:v>Channels</x:v>
      </x:c>
      <x:c r="B7" s="88" t="str">
        <x:v>Preserve app-derived and delivery-derived labels</x:v>
      </x:c>
      <x:c r="C7" s="90" t="str">
        <x:v>Delivery prices may differ from app, kiosk, or counter prices</x:v>
      </x:c>
    </x:row>
    <x:row r="8" ht="15" hidden="0" customHeight="1">
      <x:c r="A8" s="86" t="str">
        <x:v>Tax</x:v>
      </x:c>
      <x:c r="B8" s="88" t="str">
        <x:v>Amounts are treated as pre-tax references</x:v>
      </x:c>
      <x:c r="C8" s="90" t="str">
        <x:v>Sources do not provide a uniform national tax treatment</x:v>
      </x:c>
    </x:row>
    <x:row r="9" ht="15" hidden="0" customHeight="1">
      <x:c r="A9" s="86" t="str">
        <x:v>Combining data</x:v>
      </x:c>
      <x:c r="B9" s="88" t="str">
        <x:v>Do not pool or average rows across publishers</x:v>
      </x:c>
      <x:c r="C9" s="90" t="str">
        <x:v>The coverage, channel, product matching, and sample frames differ</x:v>
      </x:c>
    </x:row>
    <x:row r="10" ht="15" hidden="0" customHeight="1">
      <x:c r="A10" s="86" t="str">
        <x:v>Freshness</x:v>
      </x:c>
      <x:c r="B10" s="88" t="str">
        <x:v>Publish as retrieved 2026-09-04 with each source's observation date</x:v>
      </x:c>
      <x:c r="C10" s="90" t="str">
        <x:v>Today is the retrieval date, not necessarily the date every restaurant was observed</x:v>
      </x:c>
    </x:row>
    <x:row r="11" ht="24" hidden="0" customHeight="1">
      <x:c r="A11" s="86" t="str">
        <x:v>Privacy</x:v>
      </x:c>
      <x:c r="B11" s="88" t="str">
        <x:v>Store only national, state, or broad-area aggregates in released software</x:v>
      </x:c>
      <x:c r="C11" s="90" t="str">
        <x:v>Specific public store addresses are unnecessary for this customer-facing comparison</x:v>
      </x:c>
    </x:row>
    <x:row r="12" ht="15" hidden="0" customHeight="1">
      <x:c r="A12" s="86" t="str">
        <x:v>Rounding</x:v>
      </x:c>
      <x:c r="B12" s="88" t="str">
        <x:v>Keep unrounded calculations; round the user-facing fry amount to cents</x:v>
      </x:c>
      <x:c r="C12" s="90" t="str">
        <x:v>Checkout currency cannot usually charge fractional cents</x:v>
      </x:c>
    </x:row>
    <x:row r="13" ht="15" hidden="0" customHeight="1">
      <x:c r="A13" s="104" t="str">
        <x:v>Legal status</x:v>
      </x:c>
      <x:c r="B13" s="108" t="str">
        <x:v>Independent descriptive comparison; no affiliation or endorsement implied</x:v>
      </x:c>
      <x:c r="C13" s="109" t="str">
        <x:v>Brand names identify the compared food items</x:v>
      </x:c>
    </x:row>
    <x:row r="14" ht="15" hidden="0" customHeight="1">
      <x:c r="A14" s="80"/>
      <x:c r="B14" s="80"/>
      <x:c r="C14" s="80"/>
    </x:row>
    <x:row r="15" ht="15" hidden="0" customHeight="1">
      <x:c r="A15" s="8" t="str">
        <x:v>Source</x:v>
      </x:c>
      <x:c r="B15" s="8" t="str">
        <x:v>What was retrieved</x:v>
      </x:c>
      <x:c r="C15" s="8" t="str">
        <x:v>URL</x:v>
      </x:c>
    </x:row>
    <x:row r="16" ht="15" hidden="0" customHeight="1">
      <x:c r="A16" s="97" t="str">
        <x:v>MenuPriceTracker medium fries</x:v>
      </x:c>
      <x:c r="B16" s="101" t="str">
        <x:v>Mean, range, coverage, channel statement, update date</x:v>
      </x:c>
      <x:c r="C16" s="102" t="str">
        <x:v>https://menupricetracker.com/mcdonalds-menu/medium-french-fries</x:v>
      </x:c>
    </x:row>
    <x:row r="17" ht="15" hidden="0" customHeight="1">
      <x:c r="A17" s="86" t="str">
        <x:v>MenuPriceTracker vanilla cone</x:v>
      </x:c>
      <x:c r="B17" s="88" t="str">
        <x:v>Mean, range, coverage, channel statement, update date</x:v>
      </x:c>
      <x:c r="C17" s="90" t="str">
        <x:v>https://menupricetracker.com/mcdonalds-menu/vanilla-cone</x:v>
      </x:c>
    </x:row>
    <x:row r="18" ht="15" hidden="0" customHeight="1">
      <x:c r="A18" s="86" t="str">
        <x:v>MenuPriceToday national menu</x:v>
      </x:c>
      <x:c r="B18" s="88" t="str">
        <x:v>Hamburger, Hamburger Happy Meal, and Quarter Pounder with Cheese Meal aggregates</x:v>
      </x:c>
      <x:c r="C18" s="90" t="str">
        <x:v>https://menupricetoday.com/us/brands/mcdonalds/menu</x:v>
      </x:c>
    </x:row>
    <x:row r="19" ht="15" hidden="0" customHeight="1">
      <x:c r="A19" s="86" t="str">
        <x:v>Independent medium fry experiment</x:v>
      </x:c>
      <x:c r="B19" s="88" t="str">
        <x:v>10 medium orders; 112 g mean mass; 78 mean count; five franchises in one city</x:v>
      </x:c>
      <x:c r="C19" s="90" t="str">
        <x:v>https://eathealthy365.com/a-count-of-mcdonalds-medium-vs-large-fry/</x:v>
      </x:c>
    </x:row>
    <x:row r="20" ht="15" hidden="0" customHeight="1">
      <x:c r="A20" s="86" t="str">
        <x:v>HelpMeLogin medium fries</x:v>
      </x:c>
      <x:c r="B20" s="88" t="str">
        <x:v>Nine-reading cross-check and range</x:v>
      </x:c>
      <x:c r="C20" s="90" t="str">
        <x:v>https://www.helpmelogin.net/mcdonalds/menu-prices/medium-world-famous-fries/</x:v>
      </x:c>
    </x:row>
    <x:row r="21" ht="15" hidden="0" customHeight="1">
      <x:c r="A21" s="86" t="str">
        <x:v>HelpMeLogin vanilla cone</x:v>
      </x:c>
      <x:c r="B21" s="88" t="str">
        <x:v>Three-reading cross-check and range</x:v>
      </x:c>
      <x:c r="C21" s="90" t="str">
        <x:v>https://www.helpmelogin.net/mcdonalds/menu-prices/vanilla-cone/</x:v>
      </x:c>
    </x:row>
    <x:row r="22" ht="15" hidden="0" customHeight="1">
      <x:c r="A22" s="104" t="str">
        <x:v>McDonald's official menu</x:v>
      </x:c>
      <x:c r="B22" s="108" t="str">
        <x:v>Product identity and official menu context; no national price</x:v>
      </x:c>
      <x:c r="C22" s="109" t="str">
        <x:v>https://www.mcdonalds.com/us/en-us/full-menu.html</x:v>
      </x:c>
    </x:row>
  </x:sheetData>
  <x:mergeCells>
    <x:mergeCell ref="A1:C1"/>
  </x:mergeCells>
  <x:pageMargins left="0.7" right="0.7" top="0.75" bottom="0.75" header="0.3" footer="0.3"/>
</x:worksheet>
</file>